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\CLionProjects\FYP\evaluation\speed_tests\"/>
    </mc:Choice>
  </mc:AlternateContent>
  <xr:revisionPtr revIDLastSave="0" documentId="13_ncr:1_{50F45C65-B224-4328-868E-232A857E9D72}" xr6:coauthVersionLast="28" xr6:coauthVersionMax="28" xr10:uidLastSave="{00000000-0000-0000-0000-000000000000}"/>
  <bookViews>
    <workbookView xWindow="0" yWindow="0" windowWidth="20490" windowHeight="7530" xr2:uid="{037DB85D-D77E-4CAD-9E7A-3DD774575986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6" i="1" l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35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36" i="1"/>
  <c r="U35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</calcChain>
</file>

<file path=xl/sharedStrings.xml><?xml version="1.0" encoding="utf-8"?>
<sst xmlns="http://schemas.openxmlformats.org/spreadsheetml/2006/main" count="25" uniqueCount="21">
  <si>
    <t>Model Thread</t>
  </si>
  <si>
    <t>Samples</t>
  </si>
  <si>
    <t>Time 1</t>
  </si>
  <si>
    <t>Time 2</t>
  </si>
  <si>
    <t xml:space="preserve">Time 3 </t>
  </si>
  <si>
    <t>Time 4</t>
  </si>
  <si>
    <t>Time 5</t>
  </si>
  <si>
    <t>Average</t>
  </si>
  <si>
    <t>Min</t>
  </si>
  <si>
    <t>Max</t>
  </si>
  <si>
    <t>Timer Thread</t>
  </si>
  <si>
    <t>Sample 1</t>
  </si>
  <si>
    <t>Sample 2</t>
  </si>
  <si>
    <t>Sample 3</t>
  </si>
  <si>
    <t>Time 3</t>
  </si>
  <si>
    <t>Sample 4</t>
  </si>
  <si>
    <t>Sample 5</t>
  </si>
  <si>
    <t>Avg Sample</t>
  </si>
  <si>
    <t>Avg Time</t>
  </si>
  <si>
    <t>Min Time</t>
  </si>
  <si>
    <t>Max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</si>
</sst>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9453D-104C-4F2B-9749-49CC9861C26A}">
  <dimension ref="C2:X64"/>
  <sheetViews>
    <sheetView tabSelected="1" topLeftCell="E34" workbookViewId="0">
      <selection activeCell="W40" sqref="W40"/>
    </sheetView>
  </sheetViews>
  <sheetFormatPr defaultRowHeight="15" x14ac:dyDescent="0.25"/>
  <cols>
    <col min="21" max="21" width="11" customWidth="1"/>
  </cols>
  <sheetData>
    <row r="2" spans="3:13" x14ac:dyDescent="0.25">
      <c r="C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3:13" x14ac:dyDescent="0.25">
      <c r="D3">
        <v>1</v>
      </c>
      <c r="E3">
        <v>49152</v>
      </c>
      <c r="F3">
        <v>1.1613199999999999</v>
      </c>
      <c r="G3">
        <v>1.1419699999999999</v>
      </c>
      <c r="H3">
        <v>1.1519200000000001</v>
      </c>
      <c r="I3">
        <v>1.1518600000000001</v>
      </c>
      <c r="J3">
        <v>1.16184</v>
      </c>
      <c r="K3">
        <f>AVERAGE(F3:J3)</f>
        <v>1.1537820000000001</v>
      </c>
      <c r="L3">
        <f>MIN(F3:J3)</f>
        <v>1.1419699999999999</v>
      </c>
      <c r="M3">
        <f>MAX(F3:J3)</f>
        <v>1.16184</v>
      </c>
    </row>
    <row r="4" spans="3:13" x14ac:dyDescent="0.25">
      <c r="D4">
        <v>2</v>
      </c>
      <c r="E4">
        <v>90112</v>
      </c>
      <c r="F4">
        <v>2.0911599999999999</v>
      </c>
      <c r="G4">
        <v>2.0816400000000002</v>
      </c>
      <c r="H4">
        <v>2.0817000000000001</v>
      </c>
      <c r="I4">
        <v>2.0720200000000002</v>
      </c>
      <c r="J4">
        <v>2.0915400000000002</v>
      </c>
      <c r="K4">
        <f t="shared" ref="K4:K32" si="0">AVERAGE(F4:J4)</f>
        <v>2.083612</v>
      </c>
      <c r="L4">
        <f t="shared" ref="L4:L32" si="1">MIN(F4:J4)</f>
        <v>2.0720200000000002</v>
      </c>
      <c r="M4">
        <f t="shared" ref="M4:M32" si="2">MAX(F4:J4)</f>
        <v>2.0915400000000002</v>
      </c>
    </row>
    <row r="5" spans="3:13" x14ac:dyDescent="0.25">
      <c r="D5">
        <v>3</v>
      </c>
      <c r="E5">
        <v>139264</v>
      </c>
      <c r="F5">
        <v>3.2014800000000001</v>
      </c>
      <c r="G5">
        <v>3.1919200000000001</v>
      </c>
      <c r="H5">
        <v>3.1915200000000001</v>
      </c>
      <c r="I5">
        <v>3.1918000000000002</v>
      </c>
      <c r="J5">
        <v>3.2018599999999999</v>
      </c>
      <c r="K5">
        <f t="shared" si="0"/>
        <v>3.195716</v>
      </c>
      <c r="L5">
        <f t="shared" si="1"/>
        <v>3.1915200000000001</v>
      </c>
      <c r="M5">
        <f t="shared" si="2"/>
        <v>3.2018599999999999</v>
      </c>
    </row>
    <row r="6" spans="3:13" x14ac:dyDescent="0.25">
      <c r="D6">
        <v>4</v>
      </c>
      <c r="E6">
        <v>180224</v>
      </c>
      <c r="F6">
        <v>4.1211599999999997</v>
      </c>
      <c r="G6">
        <v>4.1115599999999999</v>
      </c>
      <c r="H6">
        <v>4.11219</v>
      </c>
      <c r="I6">
        <v>4.1119500000000002</v>
      </c>
      <c r="J6">
        <v>4.1219900000000003</v>
      </c>
      <c r="K6">
        <f t="shared" si="0"/>
        <v>4.1157699999999995</v>
      </c>
      <c r="L6">
        <f t="shared" si="1"/>
        <v>4.1115599999999999</v>
      </c>
      <c r="M6">
        <f t="shared" si="2"/>
        <v>4.1219900000000003</v>
      </c>
    </row>
    <row r="7" spans="3:13" x14ac:dyDescent="0.25">
      <c r="D7">
        <v>5</v>
      </c>
      <c r="E7">
        <v>221184</v>
      </c>
      <c r="F7">
        <v>5.05138</v>
      </c>
      <c r="G7">
        <v>5.0417199999999998</v>
      </c>
      <c r="H7">
        <v>5.0423900000000001</v>
      </c>
      <c r="I7">
        <v>5.0416100000000004</v>
      </c>
      <c r="J7">
        <v>5.0516699999999997</v>
      </c>
      <c r="K7">
        <f t="shared" si="0"/>
        <v>5.0457540000000005</v>
      </c>
      <c r="L7">
        <f t="shared" si="1"/>
        <v>5.0416100000000004</v>
      </c>
      <c r="M7">
        <f t="shared" si="2"/>
        <v>5.0516699999999997</v>
      </c>
    </row>
    <row r="8" spans="3:13" x14ac:dyDescent="0.25">
      <c r="D8">
        <v>6</v>
      </c>
      <c r="E8">
        <v>270336</v>
      </c>
      <c r="F8">
        <v>6.1711900000000002</v>
      </c>
      <c r="G8">
        <v>6.1615099999999998</v>
      </c>
      <c r="H8">
        <v>6.16167</v>
      </c>
      <c r="I8">
        <v>6.1619000000000002</v>
      </c>
      <c r="J8">
        <v>6.17197</v>
      </c>
      <c r="K8">
        <f t="shared" si="0"/>
        <v>6.165648</v>
      </c>
      <c r="L8">
        <f t="shared" si="1"/>
        <v>6.1615099999999998</v>
      </c>
      <c r="M8">
        <f t="shared" si="2"/>
        <v>6.17197</v>
      </c>
    </row>
    <row r="9" spans="3:13" x14ac:dyDescent="0.25">
      <c r="D9">
        <v>7</v>
      </c>
      <c r="E9">
        <v>311296</v>
      </c>
      <c r="F9">
        <v>7.1013599999999997</v>
      </c>
      <c r="G9">
        <v>7.0916899999999998</v>
      </c>
      <c r="H9">
        <v>7.0918400000000004</v>
      </c>
      <c r="I9">
        <v>7.0915999999999997</v>
      </c>
      <c r="J9">
        <v>7.1016300000000001</v>
      </c>
      <c r="K9">
        <f t="shared" si="0"/>
        <v>7.0956240000000008</v>
      </c>
      <c r="L9">
        <f t="shared" si="1"/>
        <v>7.0915999999999997</v>
      </c>
      <c r="M9">
        <f t="shared" si="2"/>
        <v>7.1016300000000001</v>
      </c>
    </row>
    <row r="10" spans="3:13" x14ac:dyDescent="0.25">
      <c r="D10">
        <v>8</v>
      </c>
      <c r="E10">
        <v>360448</v>
      </c>
      <c r="F10">
        <v>8.21129</v>
      </c>
      <c r="G10">
        <v>8.1919599999999999</v>
      </c>
      <c r="H10">
        <v>8.2016100000000005</v>
      </c>
      <c r="I10">
        <v>8.1918900000000008</v>
      </c>
      <c r="J10">
        <v>8.2119700000000009</v>
      </c>
      <c r="K10">
        <f t="shared" si="0"/>
        <v>8.2017440000000015</v>
      </c>
      <c r="L10">
        <f t="shared" si="1"/>
        <v>8.1918900000000008</v>
      </c>
      <c r="M10">
        <f t="shared" si="2"/>
        <v>8.2119700000000009</v>
      </c>
    </row>
    <row r="11" spans="3:13" x14ac:dyDescent="0.25">
      <c r="D11">
        <v>9</v>
      </c>
      <c r="E11">
        <v>401408</v>
      </c>
      <c r="F11">
        <v>9.1414899999999992</v>
      </c>
      <c r="G11">
        <v>9.1222139999999996</v>
      </c>
      <c r="H11">
        <v>9.1318300000000008</v>
      </c>
      <c r="I11">
        <v>9.1320599999999992</v>
      </c>
      <c r="J11">
        <v>9.1416299999999993</v>
      </c>
      <c r="K11">
        <f t="shared" si="0"/>
        <v>9.1338447999999985</v>
      </c>
      <c r="L11">
        <f t="shared" si="1"/>
        <v>9.1222139999999996</v>
      </c>
      <c r="M11">
        <f t="shared" si="2"/>
        <v>9.1416299999999993</v>
      </c>
    </row>
    <row r="12" spans="3:13" x14ac:dyDescent="0.25">
      <c r="D12">
        <v>10</v>
      </c>
      <c r="E12">
        <v>442368</v>
      </c>
      <c r="F12">
        <v>10.071199999999999</v>
      </c>
      <c r="G12">
        <v>10.0618</v>
      </c>
      <c r="H12">
        <v>10.061999999999999</v>
      </c>
      <c r="I12">
        <v>10.0617</v>
      </c>
      <c r="J12">
        <v>10.071899999999999</v>
      </c>
      <c r="K12">
        <f t="shared" si="0"/>
        <v>10.065720000000001</v>
      </c>
      <c r="L12">
        <f t="shared" si="1"/>
        <v>10.0617</v>
      </c>
      <c r="M12">
        <f t="shared" si="2"/>
        <v>10.071899999999999</v>
      </c>
    </row>
    <row r="13" spans="3:13" x14ac:dyDescent="0.25">
      <c r="D13">
        <v>11</v>
      </c>
      <c r="E13">
        <v>491520</v>
      </c>
      <c r="F13">
        <v>11.191000000000001</v>
      </c>
      <c r="G13">
        <v>11.1816</v>
      </c>
      <c r="H13">
        <v>11.181800000000001</v>
      </c>
      <c r="I13">
        <v>11.172000000000001</v>
      </c>
      <c r="J13">
        <v>11.191700000000001</v>
      </c>
      <c r="K13">
        <f t="shared" si="0"/>
        <v>11.183619999999999</v>
      </c>
      <c r="L13">
        <f t="shared" si="1"/>
        <v>11.172000000000001</v>
      </c>
      <c r="M13">
        <f t="shared" si="2"/>
        <v>11.191700000000001</v>
      </c>
    </row>
    <row r="14" spans="3:13" x14ac:dyDescent="0.25">
      <c r="D14">
        <v>12</v>
      </c>
      <c r="E14">
        <v>532480</v>
      </c>
      <c r="F14">
        <v>12.1212</v>
      </c>
      <c r="G14">
        <v>12.111800000000001</v>
      </c>
      <c r="H14">
        <v>12.1119</v>
      </c>
      <c r="I14">
        <v>12.1022</v>
      </c>
      <c r="J14">
        <v>12.1218</v>
      </c>
      <c r="K14">
        <f t="shared" si="0"/>
        <v>12.113780000000002</v>
      </c>
      <c r="L14">
        <f t="shared" si="1"/>
        <v>12.1022</v>
      </c>
      <c r="M14">
        <f t="shared" si="2"/>
        <v>12.1218</v>
      </c>
    </row>
    <row r="15" spans="3:13" x14ac:dyDescent="0.25">
      <c r="D15">
        <v>13</v>
      </c>
      <c r="E15">
        <v>573440</v>
      </c>
      <c r="F15">
        <v>13.041399999999999</v>
      </c>
      <c r="G15">
        <v>13.022399999999999</v>
      </c>
      <c r="H15">
        <v>13.031599999999999</v>
      </c>
      <c r="I15">
        <v>13.0318</v>
      </c>
      <c r="J15">
        <v>13.042</v>
      </c>
      <c r="K15">
        <f t="shared" si="0"/>
        <v>13.033840000000001</v>
      </c>
      <c r="L15">
        <f t="shared" si="1"/>
        <v>13.022399999999999</v>
      </c>
      <c r="M15">
        <f t="shared" si="2"/>
        <v>13.042</v>
      </c>
    </row>
    <row r="16" spans="3:13" x14ac:dyDescent="0.25">
      <c r="D16">
        <v>14</v>
      </c>
      <c r="E16">
        <v>622592</v>
      </c>
      <c r="F16">
        <v>14.1511</v>
      </c>
      <c r="G16">
        <v>14.142200000000001</v>
      </c>
      <c r="H16">
        <v>14.1419</v>
      </c>
      <c r="I16">
        <v>14.1416</v>
      </c>
      <c r="J16">
        <v>14.1517</v>
      </c>
      <c r="K16">
        <f t="shared" si="0"/>
        <v>14.145700000000001</v>
      </c>
      <c r="L16">
        <f t="shared" si="1"/>
        <v>14.1416</v>
      </c>
      <c r="M16">
        <f t="shared" si="2"/>
        <v>14.1517</v>
      </c>
    </row>
    <row r="17" spans="4:13" x14ac:dyDescent="0.25">
      <c r="D17">
        <v>15</v>
      </c>
      <c r="E17">
        <v>663552</v>
      </c>
      <c r="F17">
        <v>15.0814</v>
      </c>
      <c r="G17">
        <v>15.0619</v>
      </c>
      <c r="H17">
        <v>15.0715</v>
      </c>
      <c r="I17">
        <v>15.071899999999999</v>
      </c>
      <c r="J17">
        <v>15.081899999999999</v>
      </c>
      <c r="K17">
        <f t="shared" si="0"/>
        <v>15.07372</v>
      </c>
      <c r="L17">
        <f t="shared" si="1"/>
        <v>15.0619</v>
      </c>
      <c r="M17">
        <f t="shared" si="2"/>
        <v>15.081899999999999</v>
      </c>
    </row>
    <row r="18" spans="4:13" x14ac:dyDescent="0.25">
      <c r="D18">
        <v>16</v>
      </c>
      <c r="E18">
        <v>712704</v>
      </c>
      <c r="F18">
        <v>16.201699999999999</v>
      </c>
      <c r="G18">
        <v>16.191800000000001</v>
      </c>
      <c r="H18">
        <v>16.191500000000001</v>
      </c>
      <c r="I18">
        <v>16.191700000000001</v>
      </c>
      <c r="J18">
        <v>16.201799999999999</v>
      </c>
      <c r="K18">
        <f t="shared" si="0"/>
        <v>16.195699999999999</v>
      </c>
      <c r="L18">
        <f t="shared" si="1"/>
        <v>16.191500000000001</v>
      </c>
      <c r="M18">
        <f t="shared" si="2"/>
        <v>16.201799999999999</v>
      </c>
    </row>
    <row r="19" spans="4:13" x14ac:dyDescent="0.25">
      <c r="D19">
        <v>17</v>
      </c>
      <c r="E19">
        <v>753664</v>
      </c>
      <c r="F19">
        <v>17.1219</v>
      </c>
      <c r="G19">
        <v>17.121500000000001</v>
      </c>
      <c r="H19">
        <v>17.121700000000001</v>
      </c>
      <c r="I19">
        <v>17.1218</v>
      </c>
      <c r="J19">
        <v>17.132000000000001</v>
      </c>
      <c r="K19">
        <f t="shared" si="0"/>
        <v>17.12378</v>
      </c>
      <c r="L19">
        <f t="shared" si="1"/>
        <v>17.121500000000001</v>
      </c>
      <c r="M19">
        <f t="shared" si="2"/>
        <v>17.132000000000001</v>
      </c>
    </row>
    <row r="20" spans="4:13" x14ac:dyDescent="0.25">
      <c r="D20">
        <v>18</v>
      </c>
      <c r="E20">
        <v>794624</v>
      </c>
      <c r="F20">
        <v>18.061</v>
      </c>
      <c r="G20">
        <v>18.042200000000001</v>
      </c>
      <c r="H20">
        <v>18.052299999999999</v>
      </c>
      <c r="I20">
        <v>18.042000000000002</v>
      </c>
      <c r="J20">
        <v>18.061699999999998</v>
      </c>
      <c r="K20">
        <f t="shared" si="0"/>
        <v>18.051840000000002</v>
      </c>
      <c r="L20">
        <f t="shared" si="1"/>
        <v>18.042000000000002</v>
      </c>
      <c r="M20">
        <f t="shared" si="2"/>
        <v>18.061699999999998</v>
      </c>
    </row>
    <row r="21" spans="4:13" x14ac:dyDescent="0.25">
      <c r="D21">
        <v>19</v>
      </c>
      <c r="E21">
        <v>843776</v>
      </c>
      <c r="F21">
        <v>19.171299999999999</v>
      </c>
      <c r="G21">
        <v>19.1525</v>
      </c>
      <c r="H21">
        <v>19.1616</v>
      </c>
      <c r="I21">
        <v>19.161799999999999</v>
      </c>
      <c r="J21">
        <v>19.1724</v>
      </c>
      <c r="K21">
        <f t="shared" si="0"/>
        <v>19.163919999999997</v>
      </c>
      <c r="L21">
        <f t="shared" si="1"/>
        <v>19.1525</v>
      </c>
      <c r="M21">
        <f t="shared" si="2"/>
        <v>19.1724</v>
      </c>
    </row>
    <row r="22" spans="4:13" x14ac:dyDescent="0.25">
      <c r="D22">
        <v>20</v>
      </c>
      <c r="E22">
        <v>884736</v>
      </c>
      <c r="F22">
        <v>20.100999999999999</v>
      </c>
      <c r="G22">
        <v>20.0916</v>
      </c>
      <c r="H22">
        <v>20.091799999999999</v>
      </c>
      <c r="I22">
        <v>20.0915</v>
      </c>
      <c r="J22">
        <v>20.101600000000001</v>
      </c>
      <c r="K22">
        <f t="shared" si="0"/>
        <v>20.095500000000001</v>
      </c>
      <c r="L22">
        <f t="shared" si="1"/>
        <v>20.0915</v>
      </c>
      <c r="M22">
        <f t="shared" si="2"/>
        <v>20.101600000000001</v>
      </c>
    </row>
    <row r="23" spans="4:13" x14ac:dyDescent="0.25">
      <c r="D23">
        <v>21</v>
      </c>
      <c r="E23">
        <v>933888</v>
      </c>
      <c r="F23">
        <v>21.2119</v>
      </c>
      <c r="G23">
        <v>21.202000000000002</v>
      </c>
      <c r="H23">
        <v>21.211600000000001</v>
      </c>
      <c r="I23">
        <v>21.2118</v>
      </c>
      <c r="J23">
        <v>21.222000000000001</v>
      </c>
      <c r="K23">
        <f t="shared" si="0"/>
        <v>21.211860000000001</v>
      </c>
      <c r="L23">
        <f t="shared" si="1"/>
        <v>21.202000000000002</v>
      </c>
      <c r="M23">
        <f t="shared" si="2"/>
        <v>21.222000000000001</v>
      </c>
    </row>
    <row r="24" spans="4:13" x14ac:dyDescent="0.25">
      <c r="D24">
        <v>22</v>
      </c>
      <c r="E24">
        <v>974848</v>
      </c>
      <c r="F24">
        <v>22.1511</v>
      </c>
      <c r="G24">
        <v>22.1417</v>
      </c>
      <c r="H24">
        <v>22.1418</v>
      </c>
      <c r="I24">
        <v>22.131499999999999</v>
      </c>
      <c r="J24">
        <v>22.151599999999998</v>
      </c>
      <c r="K24">
        <f t="shared" si="0"/>
        <v>22.143540000000002</v>
      </c>
      <c r="L24">
        <f t="shared" si="1"/>
        <v>22.131499999999999</v>
      </c>
      <c r="M24">
        <f t="shared" si="2"/>
        <v>22.151599999999998</v>
      </c>
    </row>
    <row r="25" spans="4:13" x14ac:dyDescent="0.25">
      <c r="D25">
        <v>23</v>
      </c>
      <c r="E25">
        <v>1015808</v>
      </c>
      <c r="F25">
        <v>23.071300000000001</v>
      </c>
      <c r="G25">
        <v>23.061800000000002</v>
      </c>
      <c r="H25">
        <v>23.062000000000001</v>
      </c>
      <c r="I25">
        <v>23.0611</v>
      </c>
      <c r="J25">
        <v>23.0718</v>
      </c>
      <c r="K25">
        <f t="shared" si="0"/>
        <v>23.065599999999996</v>
      </c>
      <c r="L25">
        <f t="shared" si="1"/>
        <v>23.0611</v>
      </c>
      <c r="M25">
        <f t="shared" si="2"/>
        <v>23.0718</v>
      </c>
    </row>
    <row r="26" spans="4:13" x14ac:dyDescent="0.25">
      <c r="D26">
        <v>24</v>
      </c>
      <c r="E26">
        <v>1064960</v>
      </c>
      <c r="F26">
        <v>24.191400000000002</v>
      </c>
      <c r="G26">
        <v>24.181699999999999</v>
      </c>
      <c r="H26">
        <v>24.181899999999999</v>
      </c>
      <c r="I26">
        <v>24.171900000000001</v>
      </c>
      <c r="J26">
        <v>24.191600000000001</v>
      </c>
      <c r="K26">
        <f t="shared" si="0"/>
        <v>24.183699999999998</v>
      </c>
      <c r="L26">
        <f t="shared" si="1"/>
        <v>24.171900000000001</v>
      </c>
      <c r="M26">
        <f t="shared" si="2"/>
        <v>24.191600000000001</v>
      </c>
    </row>
    <row r="27" spans="4:13" x14ac:dyDescent="0.25">
      <c r="D27">
        <v>25</v>
      </c>
      <c r="E27">
        <v>1105920</v>
      </c>
      <c r="F27">
        <v>25.1111</v>
      </c>
      <c r="G27">
        <v>25.101800000000001</v>
      </c>
      <c r="H27">
        <v>25.101600000000001</v>
      </c>
      <c r="I27">
        <v>25.101600000000001</v>
      </c>
      <c r="J27">
        <v>25.111699999999999</v>
      </c>
      <c r="K27">
        <f t="shared" si="0"/>
        <v>25.105560000000004</v>
      </c>
      <c r="L27">
        <f t="shared" si="1"/>
        <v>25.101600000000001</v>
      </c>
      <c r="M27">
        <f t="shared" si="2"/>
        <v>25.111699999999999</v>
      </c>
    </row>
    <row r="28" spans="4:13" x14ac:dyDescent="0.25">
      <c r="D28">
        <v>26</v>
      </c>
      <c r="E28">
        <v>1146880</v>
      </c>
      <c r="F28">
        <v>26.051300000000001</v>
      </c>
      <c r="G28">
        <v>26.041599999999999</v>
      </c>
      <c r="H28">
        <v>26.041699999999999</v>
      </c>
      <c r="I28">
        <v>26.0413</v>
      </c>
      <c r="J28">
        <v>26.0519</v>
      </c>
      <c r="K28">
        <f t="shared" si="0"/>
        <v>26.045560000000002</v>
      </c>
      <c r="L28">
        <f t="shared" si="1"/>
        <v>26.0413</v>
      </c>
      <c r="M28">
        <f t="shared" si="2"/>
        <v>26.0519</v>
      </c>
    </row>
    <row r="29" spans="4:13" x14ac:dyDescent="0.25">
      <c r="D29">
        <v>27</v>
      </c>
      <c r="E29">
        <v>1196032</v>
      </c>
      <c r="F29">
        <v>27.161100000000001</v>
      </c>
      <c r="G29">
        <v>27.151800000000001</v>
      </c>
      <c r="H29">
        <v>27.152000000000001</v>
      </c>
      <c r="I29">
        <v>27.151599999999998</v>
      </c>
      <c r="J29">
        <v>27.1617</v>
      </c>
      <c r="K29">
        <f t="shared" si="0"/>
        <v>27.155639999999998</v>
      </c>
      <c r="L29">
        <f t="shared" si="1"/>
        <v>27.151599999999998</v>
      </c>
      <c r="M29">
        <f t="shared" si="2"/>
        <v>27.1617</v>
      </c>
    </row>
    <row r="30" spans="4:13" x14ac:dyDescent="0.25">
      <c r="D30">
        <v>28</v>
      </c>
      <c r="E30">
        <v>1236992</v>
      </c>
      <c r="F30">
        <v>28.081800000000001</v>
      </c>
      <c r="G30">
        <v>28.071999999999999</v>
      </c>
      <c r="H30">
        <v>28.081700000000001</v>
      </c>
      <c r="I30">
        <v>28.0823</v>
      </c>
      <c r="J30">
        <v>28.091899999999999</v>
      </c>
      <c r="K30">
        <f t="shared" si="0"/>
        <v>28.081940000000003</v>
      </c>
      <c r="L30">
        <f t="shared" si="1"/>
        <v>28.071999999999999</v>
      </c>
      <c r="M30">
        <f t="shared" si="2"/>
        <v>28.091899999999999</v>
      </c>
    </row>
    <row r="31" spans="4:13" x14ac:dyDescent="0.25">
      <c r="D31">
        <v>29</v>
      </c>
      <c r="E31">
        <v>1286144</v>
      </c>
      <c r="F31">
        <v>29.2011</v>
      </c>
      <c r="G31">
        <v>29.191800000000001</v>
      </c>
      <c r="H31">
        <v>29.192</v>
      </c>
      <c r="I31">
        <v>29.191500000000001</v>
      </c>
      <c r="J31">
        <v>29.201699999999999</v>
      </c>
      <c r="K31">
        <f t="shared" si="0"/>
        <v>29.195620000000002</v>
      </c>
      <c r="L31">
        <f t="shared" si="1"/>
        <v>29.191500000000001</v>
      </c>
      <c r="M31">
        <f t="shared" si="2"/>
        <v>29.201699999999999</v>
      </c>
    </row>
    <row r="32" spans="4:13" x14ac:dyDescent="0.25">
      <c r="D32">
        <v>30</v>
      </c>
      <c r="E32">
        <v>1327104</v>
      </c>
      <c r="F32">
        <v>30.1313</v>
      </c>
      <c r="G32">
        <v>30.111899999999999</v>
      </c>
      <c r="H32">
        <v>30.121600000000001</v>
      </c>
      <c r="I32">
        <v>30.121700000000001</v>
      </c>
      <c r="J32">
        <v>30.131900000000002</v>
      </c>
      <c r="K32">
        <f t="shared" si="0"/>
        <v>30.12368</v>
      </c>
      <c r="L32">
        <f t="shared" si="1"/>
        <v>30.111899999999999</v>
      </c>
      <c r="M32">
        <f t="shared" si="2"/>
        <v>30.131900000000002</v>
      </c>
    </row>
    <row r="34" spans="3:24" x14ac:dyDescent="0.25">
      <c r="C34" t="s">
        <v>10</v>
      </c>
      <c r="F34" t="s">
        <v>11</v>
      </c>
      <c r="G34" t="s">
        <v>2</v>
      </c>
      <c r="I34" t="s">
        <v>12</v>
      </c>
      <c r="J34" t="s">
        <v>3</v>
      </c>
      <c r="L34" t="s">
        <v>13</v>
      </c>
      <c r="M34" t="s">
        <v>14</v>
      </c>
      <c r="O34" t="s">
        <v>15</v>
      </c>
      <c r="P34" t="s">
        <v>5</v>
      </c>
      <c r="R34" t="s">
        <v>16</v>
      </c>
      <c r="S34" t="s">
        <v>6</v>
      </c>
      <c r="U34" t="s">
        <v>17</v>
      </c>
      <c r="V34" t="s">
        <v>18</v>
      </c>
      <c r="W34" t="s">
        <v>19</v>
      </c>
      <c r="X34" t="s">
        <v>20</v>
      </c>
    </row>
    <row r="35" spans="3:24" x14ac:dyDescent="0.25">
      <c r="D35">
        <v>1</v>
      </c>
      <c r="F35">
        <v>44102</v>
      </c>
      <c r="G35">
        <v>1.03023</v>
      </c>
      <c r="I35">
        <v>44109</v>
      </c>
      <c r="J35">
        <v>1.02074</v>
      </c>
      <c r="L35">
        <v>44108</v>
      </c>
      <c r="M35">
        <v>1.03023</v>
      </c>
      <c r="O35">
        <v>44101</v>
      </c>
      <c r="P35">
        <v>1.0402400000000001</v>
      </c>
      <c r="R35">
        <v>44109</v>
      </c>
      <c r="S35">
        <v>1.02075</v>
      </c>
      <c r="U35">
        <f>AVERAGE(F35,I35,L35,O35,R35)</f>
        <v>44105.8</v>
      </c>
      <c r="V35">
        <f>AVERAGE(G35,J35,M35,P35,S35)</f>
        <v>1.028438</v>
      </c>
      <c r="W35">
        <f>MIN(G35,J35,M35,P35,S35)</f>
        <v>1.02074</v>
      </c>
      <c r="X35">
        <f>MAX(G35,J35,M35,P35,S35)</f>
        <v>1.0402400000000001</v>
      </c>
    </row>
    <row r="36" spans="3:24" x14ac:dyDescent="0.25">
      <c r="D36">
        <v>2</v>
      </c>
      <c r="F36">
        <v>88320</v>
      </c>
      <c r="G36">
        <v>2.0309599999999999</v>
      </c>
      <c r="I36">
        <v>88287</v>
      </c>
      <c r="J36">
        <v>2.03044</v>
      </c>
      <c r="L36">
        <v>88215</v>
      </c>
      <c r="M36">
        <v>2.04047</v>
      </c>
      <c r="O36">
        <v>88214</v>
      </c>
      <c r="P36">
        <v>2.0504799999999999</v>
      </c>
      <c r="R36">
        <v>88202</v>
      </c>
      <c r="S36">
        <v>2.0400700000000001</v>
      </c>
      <c r="U36">
        <f>AVERAGE(F36,I36,L36,O36,R36)</f>
        <v>88247.6</v>
      </c>
      <c r="V36">
        <f t="shared" ref="V36:V64" si="3">AVERAGE(G36,J36,M36,P36,S36)</f>
        <v>2.038484</v>
      </c>
      <c r="W36">
        <f t="shared" ref="W36:W64" si="4">MIN(G36,J36,M36,P36,S36)</f>
        <v>2.03044</v>
      </c>
      <c r="X36">
        <f t="shared" ref="X36:X64" si="5">MAX(G36,J36,M36,P36,S36)</f>
        <v>2.0504799999999999</v>
      </c>
    </row>
    <row r="37" spans="3:24" x14ac:dyDescent="0.25">
      <c r="D37">
        <v>3</v>
      </c>
      <c r="F37">
        <v>132300</v>
      </c>
      <c r="G37">
        <v>3.0302099999999998</v>
      </c>
      <c r="I37">
        <v>132405</v>
      </c>
      <c r="J37">
        <v>3.03016</v>
      </c>
      <c r="L37">
        <v>132307</v>
      </c>
      <c r="M37">
        <v>3.03023</v>
      </c>
      <c r="O37">
        <v>132480</v>
      </c>
      <c r="P37">
        <v>3.0401699999999998</v>
      </c>
      <c r="R37">
        <v>132304</v>
      </c>
      <c r="S37">
        <v>3.0303599999999999</v>
      </c>
      <c r="U37">
        <f t="shared" ref="U37:U64" si="6">AVERAGE(F37,I37,L37,O37,R37)</f>
        <v>132359.20000000001</v>
      </c>
      <c r="V37">
        <f t="shared" si="3"/>
        <v>3.0322260000000001</v>
      </c>
      <c r="W37">
        <f t="shared" si="4"/>
        <v>3.03016</v>
      </c>
      <c r="X37">
        <f t="shared" si="5"/>
        <v>3.0401699999999998</v>
      </c>
    </row>
    <row r="38" spans="3:24" x14ac:dyDescent="0.25">
      <c r="D38">
        <v>4</v>
      </c>
      <c r="F38">
        <v>176428</v>
      </c>
      <c r="G38">
        <v>4.0204199999999997</v>
      </c>
      <c r="I38">
        <v>176467</v>
      </c>
      <c r="J38">
        <v>4.0204199999999997</v>
      </c>
      <c r="L38">
        <v>176427</v>
      </c>
      <c r="M38">
        <v>4.03043</v>
      </c>
      <c r="O38">
        <v>176407</v>
      </c>
      <c r="P38">
        <v>4.0403799999999999</v>
      </c>
      <c r="R38">
        <v>176400</v>
      </c>
      <c r="S38">
        <v>4.0205399999999996</v>
      </c>
      <c r="U38">
        <f t="shared" si="6"/>
        <v>176425.8</v>
      </c>
      <c r="V38">
        <f t="shared" si="3"/>
        <v>4.0264379999999997</v>
      </c>
      <c r="W38">
        <f t="shared" si="4"/>
        <v>4.0204199999999997</v>
      </c>
      <c r="X38">
        <f t="shared" si="5"/>
        <v>4.0403799999999999</v>
      </c>
    </row>
    <row r="39" spans="3:24" x14ac:dyDescent="0.25">
      <c r="D39">
        <v>5</v>
      </c>
      <c r="F39">
        <v>220532</v>
      </c>
      <c r="G39">
        <v>5.0301499999999999</v>
      </c>
      <c r="I39">
        <v>220500</v>
      </c>
      <c r="J39">
        <v>5.0206900000000001</v>
      </c>
      <c r="L39">
        <v>220500</v>
      </c>
      <c r="M39">
        <v>5.0301299999999998</v>
      </c>
      <c r="O39">
        <v>220500</v>
      </c>
      <c r="P39">
        <v>5.0400999999999998</v>
      </c>
      <c r="R39">
        <v>220500</v>
      </c>
      <c r="S39">
        <v>5.0302600000000002</v>
      </c>
      <c r="U39">
        <f t="shared" si="6"/>
        <v>220506.4</v>
      </c>
      <c r="V39">
        <f t="shared" si="3"/>
        <v>5.0302660000000001</v>
      </c>
      <c r="W39">
        <f t="shared" si="4"/>
        <v>5.0206900000000001</v>
      </c>
      <c r="X39">
        <f t="shared" si="5"/>
        <v>5.0400999999999998</v>
      </c>
    </row>
    <row r="40" spans="3:24" x14ac:dyDescent="0.25">
      <c r="D40">
        <v>6</v>
      </c>
      <c r="F40">
        <v>264600</v>
      </c>
      <c r="G40">
        <v>6.0303399999999998</v>
      </c>
      <c r="I40">
        <v>264619</v>
      </c>
      <c r="J40">
        <v>6.0303800000000001</v>
      </c>
      <c r="L40">
        <v>264601</v>
      </c>
      <c r="M40">
        <v>6.0208500000000003</v>
      </c>
      <c r="O40">
        <v>264600</v>
      </c>
      <c r="P40">
        <v>6.0402899999999997</v>
      </c>
      <c r="R40">
        <v>264600</v>
      </c>
      <c r="S40">
        <v>6.0204599999999999</v>
      </c>
      <c r="U40">
        <f t="shared" si="6"/>
        <v>264604</v>
      </c>
      <c r="V40">
        <f t="shared" si="3"/>
        <v>6.0284639999999996</v>
      </c>
      <c r="W40">
        <f t="shared" si="4"/>
        <v>6.0204599999999999</v>
      </c>
      <c r="X40">
        <f t="shared" si="5"/>
        <v>6.0402899999999997</v>
      </c>
    </row>
    <row r="41" spans="3:24" x14ac:dyDescent="0.25">
      <c r="D41">
        <v>7</v>
      </c>
      <c r="F41">
        <v>308734</v>
      </c>
      <c r="G41">
        <v>7.0300500000000001</v>
      </c>
      <c r="I41">
        <v>308719</v>
      </c>
      <c r="J41">
        <v>7.0301099999999996</v>
      </c>
      <c r="L41">
        <v>308703</v>
      </c>
      <c r="M41">
        <v>7.0300500000000001</v>
      </c>
      <c r="O41">
        <v>308736</v>
      </c>
      <c r="P41">
        <v>7.0400200000000002</v>
      </c>
      <c r="R41">
        <v>308704</v>
      </c>
      <c r="S41">
        <v>7.0301900000000002</v>
      </c>
      <c r="U41">
        <f t="shared" si="6"/>
        <v>308719.2</v>
      </c>
      <c r="V41">
        <f t="shared" si="3"/>
        <v>7.0320839999999993</v>
      </c>
      <c r="W41">
        <f t="shared" si="4"/>
        <v>7.0300500000000001</v>
      </c>
      <c r="X41">
        <f t="shared" si="5"/>
        <v>7.0400200000000002</v>
      </c>
    </row>
    <row r="42" spans="3:24" x14ac:dyDescent="0.25">
      <c r="D42">
        <v>8</v>
      </c>
      <c r="F42">
        <v>352800</v>
      </c>
      <c r="G42">
        <v>8.0303500000000003</v>
      </c>
      <c r="I42">
        <v>352801</v>
      </c>
      <c r="J42">
        <v>8.0208100000000009</v>
      </c>
      <c r="L42">
        <v>352801</v>
      </c>
      <c r="M42">
        <v>8.03078</v>
      </c>
      <c r="O42">
        <v>352800</v>
      </c>
      <c r="P42">
        <v>8.0402299999999993</v>
      </c>
      <c r="R42">
        <v>352815</v>
      </c>
      <c r="S42">
        <v>8.0303799999999992</v>
      </c>
      <c r="U42">
        <f t="shared" si="6"/>
        <v>352803.4</v>
      </c>
      <c r="V42">
        <f t="shared" si="3"/>
        <v>8.0305100000000014</v>
      </c>
      <c r="W42">
        <f t="shared" si="4"/>
        <v>8.0208100000000009</v>
      </c>
      <c r="X42">
        <f t="shared" si="5"/>
        <v>8.0402299999999993</v>
      </c>
    </row>
    <row r="43" spans="3:24" x14ac:dyDescent="0.25">
      <c r="D43">
        <v>9</v>
      </c>
      <c r="F43">
        <v>396904</v>
      </c>
      <c r="G43">
        <v>9.0400500000000008</v>
      </c>
      <c r="I43">
        <v>396938</v>
      </c>
      <c r="J43">
        <v>9.0305199999999992</v>
      </c>
      <c r="L43">
        <v>396942</v>
      </c>
      <c r="M43">
        <v>9.0404699999999991</v>
      </c>
      <c r="O43">
        <v>396965</v>
      </c>
      <c r="P43">
        <v>9.0509900000000005</v>
      </c>
      <c r="R43">
        <v>396904</v>
      </c>
      <c r="S43">
        <v>9.0400899999999993</v>
      </c>
      <c r="U43">
        <f t="shared" si="6"/>
        <v>396930.6</v>
      </c>
      <c r="V43">
        <f t="shared" si="3"/>
        <v>9.0404239999999998</v>
      </c>
      <c r="W43">
        <f t="shared" si="4"/>
        <v>9.0305199999999992</v>
      </c>
      <c r="X43">
        <f t="shared" si="5"/>
        <v>9.0509900000000005</v>
      </c>
    </row>
    <row r="44" spans="3:24" x14ac:dyDescent="0.25">
      <c r="D44">
        <v>10</v>
      </c>
      <c r="F44">
        <v>441216</v>
      </c>
      <c r="G44">
        <v>10.0303</v>
      </c>
      <c r="I44">
        <v>441012</v>
      </c>
      <c r="J44">
        <v>10.0307</v>
      </c>
      <c r="L44">
        <v>441018</v>
      </c>
      <c r="M44">
        <v>10.030200000000001</v>
      </c>
      <c r="O44">
        <v>441001</v>
      </c>
      <c r="P44">
        <v>10.0402</v>
      </c>
      <c r="R44">
        <v>441000</v>
      </c>
      <c r="S44">
        <v>10.0304</v>
      </c>
      <c r="U44">
        <f t="shared" si="6"/>
        <v>441049.4</v>
      </c>
      <c r="V44">
        <f t="shared" si="3"/>
        <v>10.032360000000001</v>
      </c>
      <c r="W44">
        <f t="shared" si="4"/>
        <v>10.030200000000001</v>
      </c>
      <c r="X44">
        <f t="shared" si="5"/>
        <v>10.0402</v>
      </c>
    </row>
    <row r="45" spans="3:24" x14ac:dyDescent="0.25">
      <c r="D45">
        <v>11</v>
      </c>
      <c r="F45">
        <v>485175</v>
      </c>
      <c r="G45">
        <v>11.0305</v>
      </c>
      <c r="I45">
        <v>485160</v>
      </c>
      <c r="J45">
        <v>11.031000000000001</v>
      </c>
      <c r="L45">
        <v>485125</v>
      </c>
      <c r="M45">
        <v>11.0404</v>
      </c>
      <c r="O45">
        <v>485134</v>
      </c>
      <c r="P45">
        <v>11.0504</v>
      </c>
      <c r="R45">
        <v>485109</v>
      </c>
      <c r="S45">
        <v>11.040100000000001</v>
      </c>
      <c r="U45">
        <f t="shared" si="6"/>
        <v>485140.6</v>
      </c>
      <c r="V45">
        <f t="shared" si="3"/>
        <v>11.03848</v>
      </c>
      <c r="W45">
        <f t="shared" si="4"/>
        <v>11.0305</v>
      </c>
      <c r="X45">
        <f t="shared" si="5"/>
        <v>11.0504</v>
      </c>
    </row>
    <row r="46" spans="3:24" x14ac:dyDescent="0.25">
      <c r="D46">
        <v>12</v>
      </c>
      <c r="F46">
        <v>529204</v>
      </c>
      <c r="G46">
        <v>12.030200000000001</v>
      </c>
      <c r="I46">
        <v>529200</v>
      </c>
      <c r="J46">
        <v>12.030200000000001</v>
      </c>
      <c r="L46">
        <v>529211</v>
      </c>
      <c r="M46">
        <v>12.030099999999999</v>
      </c>
      <c r="O46">
        <v>529201</v>
      </c>
      <c r="P46">
        <v>12.040100000000001</v>
      </c>
      <c r="R46">
        <v>529344</v>
      </c>
      <c r="S46">
        <v>12.0303</v>
      </c>
      <c r="U46">
        <f t="shared" si="6"/>
        <v>529232</v>
      </c>
      <c r="V46">
        <f t="shared" si="3"/>
        <v>12.03218</v>
      </c>
      <c r="W46">
        <f t="shared" si="4"/>
        <v>12.030099999999999</v>
      </c>
      <c r="X46">
        <f t="shared" si="5"/>
        <v>12.040100000000001</v>
      </c>
    </row>
    <row r="47" spans="3:24" x14ac:dyDescent="0.25">
      <c r="D47">
        <v>13</v>
      </c>
      <c r="F47">
        <v>573301</v>
      </c>
      <c r="G47">
        <v>13.0204</v>
      </c>
      <c r="I47">
        <v>573306</v>
      </c>
      <c r="J47">
        <v>13.0304</v>
      </c>
      <c r="L47">
        <v>573372</v>
      </c>
      <c r="M47">
        <v>13.0303</v>
      </c>
      <c r="O47">
        <v>573309</v>
      </c>
      <c r="P47">
        <v>13.0403</v>
      </c>
      <c r="R47">
        <v>573316</v>
      </c>
      <c r="S47">
        <v>13.0205</v>
      </c>
      <c r="U47">
        <f t="shared" si="6"/>
        <v>573320.80000000005</v>
      </c>
      <c r="V47">
        <f t="shared" si="3"/>
        <v>13.028380000000002</v>
      </c>
      <c r="W47">
        <f t="shared" si="4"/>
        <v>13.0204</v>
      </c>
      <c r="X47">
        <f t="shared" si="5"/>
        <v>13.0403</v>
      </c>
    </row>
    <row r="48" spans="3:24" x14ac:dyDescent="0.25">
      <c r="D48">
        <v>14</v>
      </c>
      <c r="F48">
        <v>617403</v>
      </c>
      <c r="G48">
        <v>14.030099999999999</v>
      </c>
      <c r="I48">
        <v>617419</v>
      </c>
      <c r="J48">
        <v>14.030200000000001</v>
      </c>
      <c r="L48">
        <v>617424</v>
      </c>
      <c r="M48">
        <v>14.03</v>
      </c>
      <c r="O48">
        <v>617427</v>
      </c>
      <c r="P48">
        <v>14.04</v>
      </c>
      <c r="R48">
        <v>617472</v>
      </c>
      <c r="S48">
        <v>14.030200000000001</v>
      </c>
      <c r="U48">
        <f t="shared" si="6"/>
        <v>617429</v>
      </c>
      <c r="V48">
        <f t="shared" si="3"/>
        <v>14.0321</v>
      </c>
      <c r="W48">
        <f t="shared" si="4"/>
        <v>14.03</v>
      </c>
      <c r="X48">
        <f t="shared" si="5"/>
        <v>14.04</v>
      </c>
    </row>
    <row r="49" spans="4:24" x14ac:dyDescent="0.25">
      <c r="D49">
        <v>15</v>
      </c>
      <c r="F49">
        <v>661500</v>
      </c>
      <c r="G49">
        <v>15.0303</v>
      </c>
      <c r="I49">
        <v>661500</v>
      </c>
      <c r="J49">
        <v>15.0204</v>
      </c>
      <c r="L49">
        <v>661503</v>
      </c>
      <c r="M49">
        <v>15.0303</v>
      </c>
      <c r="O49">
        <v>661501</v>
      </c>
      <c r="P49">
        <v>15.0403</v>
      </c>
      <c r="R49">
        <v>661500</v>
      </c>
      <c r="S49">
        <v>15.0305</v>
      </c>
      <c r="U49">
        <f t="shared" si="6"/>
        <v>661500.80000000005</v>
      </c>
      <c r="V49">
        <f t="shared" si="3"/>
        <v>15.030360000000002</v>
      </c>
      <c r="W49">
        <f t="shared" si="4"/>
        <v>15.0204</v>
      </c>
      <c r="X49">
        <f t="shared" si="5"/>
        <v>15.0403</v>
      </c>
    </row>
    <row r="50" spans="4:24" x14ac:dyDescent="0.25">
      <c r="D50">
        <v>16</v>
      </c>
      <c r="F50">
        <v>705600</v>
      </c>
      <c r="G50">
        <v>16.02</v>
      </c>
      <c r="I50">
        <v>705600</v>
      </c>
      <c r="J50">
        <v>16.0107</v>
      </c>
      <c r="L50">
        <v>705600</v>
      </c>
      <c r="M50">
        <v>16.020499999999998</v>
      </c>
      <c r="O50">
        <v>705600</v>
      </c>
      <c r="P50">
        <v>16.0305</v>
      </c>
      <c r="R50">
        <v>705600</v>
      </c>
      <c r="S50">
        <v>16.020199999999999</v>
      </c>
      <c r="U50">
        <f t="shared" si="6"/>
        <v>705600</v>
      </c>
      <c r="V50">
        <f t="shared" si="3"/>
        <v>16.020379999999999</v>
      </c>
      <c r="W50">
        <f t="shared" si="4"/>
        <v>16.0107</v>
      </c>
      <c r="X50">
        <f t="shared" si="5"/>
        <v>16.0305</v>
      </c>
    </row>
    <row r="51" spans="4:24" x14ac:dyDescent="0.25">
      <c r="D51">
        <v>17</v>
      </c>
      <c r="F51">
        <v>749701</v>
      </c>
      <c r="G51">
        <v>17.0303</v>
      </c>
      <c r="I51">
        <v>749701</v>
      </c>
      <c r="J51">
        <v>17.020499999999998</v>
      </c>
      <c r="L51">
        <v>749703</v>
      </c>
      <c r="M51">
        <v>17.030200000000001</v>
      </c>
      <c r="O51">
        <v>749786</v>
      </c>
      <c r="P51">
        <v>17.040199999999999</v>
      </c>
      <c r="R51">
        <v>749706</v>
      </c>
      <c r="S51">
        <v>17.0304</v>
      </c>
      <c r="U51">
        <f t="shared" si="6"/>
        <v>749719.4</v>
      </c>
      <c r="V51">
        <f t="shared" si="3"/>
        <v>17.030319999999996</v>
      </c>
      <c r="W51">
        <f t="shared" si="4"/>
        <v>17.020499999999998</v>
      </c>
      <c r="X51">
        <f t="shared" si="5"/>
        <v>17.040199999999999</v>
      </c>
    </row>
    <row r="52" spans="4:24" x14ac:dyDescent="0.25">
      <c r="D52">
        <v>18</v>
      </c>
      <c r="F52">
        <v>793826</v>
      </c>
      <c r="G52">
        <v>18.040600000000001</v>
      </c>
      <c r="I52">
        <v>793886</v>
      </c>
      <c r="J52">
        <v>18.040199999999999</v>
      </c>
      <c r="L52">
        <v>793876</v>
      </c>
      <c r="M52">
        <v>18.040400000000002</v>
      </c>
      <c r="O52">
        <v>794304</v>
      </c>
      <c r="P52">
        <v>18.0505</v>
      </c>
      <c r="R52">
        <v>793905</v>
      </c>
      <c r="S52">
        <v>18.040099999999999</v>
      </c>
      <c r="U52">
        <f t="shared" si="6"/>
        <v>793959.4</v>
      </c>
      <c r="V52">
        <f t="shared" si="3"/>
        <v>18.042359999999999</v>
      </c>
      <c r="W52">
        <f t="shared" si="4"/>
        <v>18.040099999999999</v>
      </c>
      <c r="X52">
        <f t="shared" si="5"/>
        <v>18.0505</v>
      </c>
    </row>
    <row r="53" spans="4:24" x14ac:dyDescent="0.25">
      <c r="D53">
        <v>19</v>
      </c>
      <c r="F53">
        <v>837903</v>
      </c>
      <c r="G53">
        <v>19.020299999999999</v>
      </c>
      <c r="I53">
        <v>837901</v>
      </c>
      <c r="J53">
        <v>19.020399999999999</v>
      </c>
      <c r="L53">
        <v>837907</v>
      </c>
      <c r="M53">
        <v>19.030100000000001</v>
      </c>
      <c r="O53">
        <v>837905</v>
      </c>
      <c r="P53">
        <v>19.0307</v>
      </c>
      <c r="R53">
        <v>837912</v>
      </c>
      <c r="S53">
        <v>19.0304</v>
      </c>
      <c r="U53">
        <f t="shared" si="6"/>
        <v>837905.6</v>
      </c>
      <c r="V53">
        <f t="shared" si="3"/>
        <v>19.02638</v>
      </c>
      <c r="W53">
        <f t="shared" si="4"/>
        <v>19.020299999999999</v>
      </c>
      <c r="X53">
        <f t="shared" si="5"/>
        <v>19.0307</v>
      </c>
    </row>
    <row r="54" spans="4:24" x14ac:dyDescent="0.25">
      <c r="D54">
        <v>20</v>
      </c>
      <c r="F54">
        <v>882047</v>
      </c>
      <c r="G54">
        <v>20.0305</v>
      </c>
      <c r="I54">
        <v>882008</v>
      </c>
      <c r="J54">
        <v>20.020600000000002</v>
      </c>
      <c r="L54">
        <v>882000</v>
      </c>
      <c r="M54">
        <v>20.0303</v>
      </c>
      <c r="O54">
        <v>882000</v>
      </c>
      <c r="P54">
        <v>20.040400000000002</v>
      </c>
      <c r="R54">
        <v>882008</v>
      </c>
      <c r="S54">
        <v>20.030100000000001</v>
      </c>
      <c r="U54">
        <f t="shared" si="6"/>
        <v>882012.6</v>
      </c>
      <c r="V54">
        <f t="shared" si="3"/>
        <v>20.030380000000001</v>
      </c>
      <c r="W54">
        <f t="shared" si="4"/>
        <v>20.020600000000002</v>
      </c>
      <c r="X54">
        <f t="shared" si="5"/>
        <v>20.040400000000002</v>
      </c>
    </row>
    <row r="55" spans="4:24" x14ac:dyDescent="0.25">
      <c r="D55">
        <v>21</v>
      </c>
      <c r="F55">
        <v>926121</v>
      </c>
      <c r="G55">
        <v>21.030200000000001</v>
      </c>
      <c r="I55">
        <v>926103</v>
      </c>
      <c r="J55">
        <v>21.0303</v>
      </c>
      <c r="L55">
        <v>926104</v>
      </c>
      <c r="M55">
        <v>21.03</v>
      </c>
      <c r="O55">
        <v>926104</v>
      </c>
      <c r="P55">
        <v>21.040700000000001</v>
      </c>
      <c r="R55">
        <v>926204</v>
      </c>
      <c r="S55">
        <v>21.0303</v>
      </c>
      <c r="U55">
        <f t="shared" si="6"/>
        <v>926127.2</v>
      </c>
      <c r="V55">
        <f t="shared" si="3"/>
        <v>21.032299999999999</v>
      </c>
      <c r="W55">
        <f t="shared" si="4"/>
        <v>21.03</v>
      </c>
      <c r="X55">
        <f t="shared" si="5"/>
        <v>21.040700000000001</v>
      </c>
    </row>
    <row r="56" spans="4:24" x14ac:dyDescent="0.25">
      <c r="D56">
        <v>22</v>
      </c>
      <c r="F56">
        <v>970200</v>
      </c>
      <c r="G56">
        <v>22.020900000000001</v>
      </c>
      <c r="I56">
        <v>970299</v>
      </c>
      <c r="J56">
        <v>22.030100000000001</v>
      </c>
      <c r="L56">
        <v>970200</v>
      </c>
      <c r="M56">
        <v>22.030799999999999</v>
      </c>
      <c r="O56">
        <v>970216</v>
      </c>
      <c r="P56">
        <v>22.040400000000002</v>
      </c>
      <c r="R56">
        <v>970201</v>
      </c>
      <c r="S56">
        <v>22.03</v>
      </c>
      <c r="U56">
        <f t="shared" si="6"/>
        <v>970223.2</v>
      </c>
      <c r="V56">
        <f t="shared" si="3"/>
        <v>22.030440000000002</v>
      </c>
      <c r="W56">
        <f t="shared" si="4"/>
        <v>22.020900000000001</v>
      </c>
      <c r="X56">
        <f t="shared" si="5"/>
        <v>22.040400000000002</v>
      </c>
    </row>
    <row r="57" spans="4:24" x14ac:dyDescent="0.25">
      <c r="D57">
        <v>23</v>
      </c>
      <c r="F57">
        <v>1014328</v>
      </c>
      <c r="G57">
        <v>23.020600000000002</v>
      </c>
      <c r="I57">
        <v>1014305</v>
      </c>
      <c r="J57">
        <v>23.0303</v>
      </c>
      <c r="L57">
        <v>1014316</v>
      </c>
      <c r="M57">
        <v>23.0305</v>
      </c>
      <c r="O57">
        <v>1014336</v>
      </c>
      <c r="P57">
        <v>23.040099999999999</v>
      </c>
      <c r="R57">
        <v>1014336</v>
      </c>
      <c r="S57">
        <v>23.030200000000001</v>
      </c>
      <c r="U57">
        <f t="shared" si="6"/>
        <v>1014324.2</v>
      </c>
      <c r="V57">
        <f t="shared" si="3"/>
        <v>23.030340000000002</v>
      </c>
      <c r="W57">
        <f t="shared" si="4"/>
        <v>23.020600000000002</v>
      </c>
      <c r="X57">
        <f t="shared" si="5"/>
        <v>23.040099999999999</v>
      </c>
    </row>
    <row r="58" spans="4:24" x14ac:dyDescent="0.25">
      <c r="D58">
        <v>24</v>
      </c>
      <c r="F58">
        <v>1058401</v>
      </c>
      <c r="G58">
        <v>24.0304</v>
      </c>
      <c r="I58">
        <v>1058400</v>
      </c>
      <c r="J58">
        <v>24.03</v>
      </c>
      <c r="L58">
        <v>1058402</v>
      </c>
      <c r="M58">
        <v>24.030200000000001</v>
      </c>
      <c r="O58">
        <v>1058400</v>
      </c>
      <c r="P58">
        <v>24.040299999999998</v>
      </c>
      <c r="R58">
        <v>1058400</v>
      </c>
      <c r="S58">
        <v>24.021000000000001</v>
      </c>
      <c r="U58">
        <f t="shared" si="6"/>
        <v>1058400.6000000001</v>
      </c>
      <c r="V58">
        <f t="shared" si="3"/>
        <v>24.030380000000001</v>
      </c>
      <c r="W58">
        <f t="shared" si="4"/>
        <v>24.021000000000001</v>
      </c>
      <c r="X58">
        <f t="shared" si="5"/>
        <v>24.040299999999998</v>
      </c>
    </row>
    <row r="59" spans="4:24" x14ac:dyDescent="0.25">
      <c r="D59">
        <v>25</v>
      </c>
      <c r="F59">
        <v>1102504</v>
      </c>
      <c r="G59">
        <v>25.040099999999999</v>
      </c>
      <c r="I59">
        <v>1102616</v>
      </c>
      <c r="J59">
        <v>25.040299999999998</v>
      </c>
      <c r="L59">
        <v>1102619</v>
      </c>
      <c r="M59">
        <v>25.040400000000002</v>
      </c>
      <c r="O59">
        <v>1102569</v>
      </c>
      <c r="P59">
        <v>25.05</v>
      </c>
      <c r="R59">
        <v>1102612</v>
      </c>
      <c r="S59">
        <v>25.040199999999999</v>
      </c>
      <c r="U59">
        <f t="shared" si="6"/>
        <v>1102584</v>
      </c>
      <c r="V59">
        <f t="shared" si="3"/>
        <v>25.042200000000001</v>
      </c>
      <c r="W59">
        <f t="shared" si="4"/>
        <v>25.040099999999999</v>
      </c>
      <c r="X59">
        <f t="shared" si="5"/>
        <v>25.05</v>
      </c>
    </row>
    <row r="60" spans="4:24" x14ac:dyDescent="0.25">
      <c r="D60">
        <v>26</v>
      </c>
      <c r="F60">
        <v>1146601</v>
      </c>
      <c r="G60">
        <v>26.020299999999999</v>
      </c>
      <c r="I60">
        <v>1146657</v>
      </c>
      <c r="J60">
        <v>26.020499999999998</v>
      </c>
      <c r="L60">
        <v>1146624</v>
      </c>
      <c r="M60">
        <v>26.030100000000001</v>
      </c>
      <c r="O60">
        <v>1146605</v>
      </c>
      <c r="P60">
        <v>26.040199999999999</v>
      </c>
      <c r="R60">
        <v>1146611</v>
      </c>
      <c r="S60">
        <v>26.03</v>
      </c>
      <c r="U60">
        <f t="shared" si="6"/>
        <v>1146619.6000000001</v>
      </c>
      <c r="V60">
        <f t="shared" si="3"/>
        <v>26.028219999999997</v>
      </c>
      <c r="W60">
        <f t="shared" si="4"/>
        <v>26.020299999999999</v>
      </c>
      <c r="X60">
        <f t="shared" si="5"/>
        <v>26.040199999999999</v>
      </c>
    </row>
    <row r="61" spans="4:24" x14ac:dyDescent="0.25">
      <c r="D61">
        <v>27</v>
      </c>
      <c r="F61">
        <v>1190784</v>
      </c>
      <c r="G61">
        <v>27.040099999999999</v>
      </c>
      <c r="I61">
        <v>1190709</v>
      </c>
      <c r="J61">
        <v>27.040199999999999</v>
      </c>
      <c r="L61">
        <v>1190722</v>
      </c>
      <c r="M61">
        <v>27.040299999999998</v>
      </c>
      <c r="O61">
        <v>1190706</v>
      </c>
      <c r="P61">
        <v>27.040500000000002</v>
      </c>
      <c r="R61">
        <v>1190705</v>
      </c>
      <c r="S61">
        <v>27.0307</v>
      </c>
      <c r="U61">
        <f t="shared" si="6"/>
        <v>1190725.2</v>
      </c>
      <c r="V61">
        <f t="shared" si="3"/>
        <v>27.038360000000001</v>
      </c>
      <c r="W61">
        <f t="shared" si="4"/>
        <v>27.0307</v>
      </c>
      <c r="X61">
        <f t="shared" si="5"/>
        <v>27.040500000000002</v>
      </c>
    </row>
    <row r="62" spans="4:24" x14ac:dyDescent="0.25">
      <c r="D62">
        <v>28</v>
      </c>
      <c r="F62">
        <v>1234801</v>
      </c>
      <c r="G62">
        <v>28.020299999999999</v>
      </c>
      <c r="I62">
        <v>1234825</v>
      </c>
      <c r="J62">
        <v>28.0304</v>
      </c>
      <c r="L62">
        <v>1234802</v>
      </c>
      <c r="M62">
        <v>28.03</v>
      </c>
      <c r="O62">
        <v>1234800</v>
      </c>
      <c r="P62">
        <v>28.040199999999999</v>
      </c>
      <c r="R62">
        <v>1234818</v>
      </c>
      <c r="S62">
        <v>28.020399999999999</v>
      </c>
      <c r="U62">
        <f t="shared" si="6"/>
        <v>1234809.2</v>
      </c>
      <c r="V62">
        <f t="shared" si="3"/>
        <v>28.02826</v>
      </c>
      <c r="W62">
        <f t="shared" si="4"/>
        <v>28.020299999999999</v>
      </c>
      <c r="X62">
        <f t="shared" si="5"/>
        <v>28.040199999999999</v>
      </c>
    </row>
    <row r="63" spans="4:24" x14ac:dyDescent="0.25">
      <c r="D63">
        <v>29</v>
      </c>
      <c r="F63">
        <v>1278901</v>
      </c>
      <c r="G63">
        <v>29.020499999999998</v>
      </c>
      <c r="I63">
        <v>1278909</v>
      </c>
      <c r="J63">
        <v>29.030100000000001</v>
      </c>
      <c r="L63">
        <v>1278901</v>
      </c>
      <c r="M63">
        <v>29.030200000000001</v>
      </c>
      <c r="O63">
        <v>1278904</v>
      </c>
      <c r="P63">
        <v>29.040400000000002</v>
      </c>
      <c r="R63">
        <v>1278900</v>
      </c>
      <c r="S63">
        <v>29.030200000000001</v>
      </c>
      <c r="U63">
        <f t="shared" si="6"/>
        <v>1278903</v>
      </c>
      <c r="V63">
        <f t="shared" si="3"/>
        <v>29.030280000000005</v>
      </c>
      <c r="W63">
        <f t="shared" si="4"/>
        <v>29.020499999999998</v>
      </c>
      <c r="X63">
        <f t="shared" si="5"/>
        <v>29.040400000000002</v>
      </c>
    </row>
    <row r="64" spans="4:24" x14ac:dyDescent="0.25">
      <c r="D64">
        <v>30</v>
      </c>
      <c r="F64">
        <v>1323045</v>
      </c>
      <c r="G64">
        <v>30.0303</v>
      </c>
      <c r="I64">
        <v>1323002</v>
      </c>
      <c r="J64">
        <v>30.020299999999999</v>
      </c>
      <c r="L64">
        <v>1323000</v>
      </c>
      <c r="M64">
        <v>30.0305</v>
      </c>
      <c r="O64">
        <v>1323000</v>
      </c>
      <c r="P64">
        <v>30.040099999999999</v>
      </c>
      <c r="R64">
        <v>1323001</v>
      </c>
      <c r="S64">
        <v>30.03</v>
      </c>
      <c r="U64">
        <f t="shared" si="6"/>
        <v>1323009.6000000001</v>
      </c>
      <c r="V64">
        <f t="shared" si="3"/>
        <v>30.030240000000003</v>
      </c>
      <c r="W64">
        <f t="shared" si="4"/>
        <v>30.020299999999999</v>
      </c>
      <c r="X64">
        <f t="shared" si="5"/>
        <v>30.040099999999999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street</dc:creator>
  <cp:lastModifiedBy>charlie street</cp:lastModifiedBy>
  <dcterms:created xsi:type="dcterms:W3CDTF">2018-03-30T10:59:08Z</dcterms:created>
  <dcterms:modified xsi:type="dcterms:W3CDTF">2018-03-30T12:34:54Z</dcterms:modified>
</cp:coreProperties>
</file>